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Разработка\Arduino_2024\+004_Voltmetr_10S_8266_kompensation_Display_1610_Encoder\"/>
    </mc:Choice>
  </mc:AlternateContent>
  <bookViews>
    <workbookView xWindow="0" yWindow="0" windowWidth="30720" windowHeight="1351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1" l="1"/>
  <c r="H14" i="1"/>
  <c r="H13" i="1"/>
  <c r="E14" i="1"/>
  <c r="L9" i="1"/>
  <c r="L10" i="1" l="1"/>
  <c r="L11" i="1"/>
  <c r="L12" i="1"/>
  <c r="L13" i="1"/>
  <c r="L14" i="1"/>
  <c r="L15" i="1"/>
  <c r="L16" i="1"/>
  <c r="L17" i="1"/>
  <c r="L18" i="1"/>
  <c r="F5" i="1"/>
  <c r="B5" i="1" s="1"/>
  <c r="F9" i="1" l="1"/>
</calcChain>
</file>

<file path=xl/sharedStrings.xml><?xml version="1.0" encoding="utf-8"?>
<sst xmlns="http://schemas.openxmlformats.org/spreadsheetml/2006/main" count="27" uniqueCount="25">
  <si>
    <t>sum / 3.0 / 1023.0) * 3.3 * voltageDividerRatios[channel];</t>
  </si>
  <si>
    <t>в ард</t>
  </si>
  <si>
    <t>реал</t>
  </si>
  <si>
    <t>ориг формула</t>
  </si>
  <si>
    <t>исправ</t>
  </si>
  <si>
    <t>можно исправлять только эти ячейки</t>
  </si>
  <si>
    <t>миливольт</t>
  </si>
  <si>
    <t>по умолч</t>
  </si>
  <si>
    <t>С1</t>
  </si>
  <si>
    <t>С2</t>
  </si>
  <si>
    <t>С3</t>
  </si>
  <si>
    <t>С4</t>
  </si>
  <si>
    <t>С5</t>
  </si>
  <si>
    <t>С6</t>
  </si>
  <si>
    <t>С7</t>
  </si>
  <si>
    <t>С8</t>
  </si>
  <si>
    <t>С9</t>
  </si>
  <si>
    <t>DivRatio = (4.60V * 1023) / (3.3V * 79.7)</t>
  </si>
  <si>
    <t>Avg</t>
  </si>
  <si>
    <t>voltageDividerRatios</t>
  </si>
  <si>
    <t>С10</t>
  </si>
  <si>
    <t>коэффициент = Целевое напряжение / ((Коэффициент / 1023) * 3.3)</t>
  </si>
  <si>
    <t>напр</t>
  </si>
  <si>
    <t>кооф</t>
  </si>
  <si>
    <t>целевое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</si>
</sst>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charset val="204"/>
      <scheme val="minor"/>
    </font>
    <font>
      <b/>
      <sz val="8"/>
      <name val="Consolas"/>
      <family val="3"/>
      <charset val="204"/>
    </font>
    <font>
      <sz val="1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0" xfId="0" applyFill="1" applyBorder="1"/>
    <xf numFmtId="0" fontId="2" fillId="0" borderId="0" xfId="0" applyFont="1"/>
    <xf numFmtId="0" fontId="2" fillId="0" borderId="0" xfId="0" applyFont="1" applyAlignment="1">
      <alignment horizontal="left" vertical="top" indent="1"/>
    </xf>
    <xf numFmtId="0" fontId="0" fillId="0" borderId="0" xfId="0" applyFill="1" applyBorder="1" applyAlignment="1"/>
    <xf numFmtId="0" fontId="0" fillId="2" borderId="0" xfId="0" applyFill="1" applyBorder="1"/>
    <xf numFmtId="0" fontId="0" fillId="4" borderId="0" xfId="0" applyFill="1" applyBorder="1"/>
    <xf numFmtId="164" fontId="0" fillId="3" borderId="0" xfId="0" applyNumberFormat="1" applyFill="1" applyBorder="1"/>
    <xf numFmtId="1" fontId="0" fillId="0" borderId="6" xfId="0" applyNumberFormat="1" applyBorder="1"/>
    <xf numFmtId="164" fontId="0" fillId="0" borderId="6" xfId="0" applyNumberFormat="1" applyBorder="1"/>
    <xf numFmtId="164" fontId="0" fillId="0" borderId="9" xfId="0" applyNumberFormat="1" applyBorder="1"/>
    <xf numFmtId="0" fontId="1" fillId="0" borderId="10" xfId="0" applyFont="1" applyBorder="1" applyAlignment="1">
      <alignment vertical="center"/>
    </xf>
    <xf numFmtId="164" fontId="0" fillId="6" borderId="10" xfId="0" applyNumberFormat="1" applyFill="1" applyBorder="1"/>
    <xf numFmtId="164" fontId="0" fillId="0" borderId="10" xfId="0" applyNumberFormat="1" applyBorder="1"/>
    <xf numFmtId="164" fontId="0" fillId="0" borderId="11" xfId="0" applyNumberFormat="1" applyBorder="1"/>
    <xf numFmtId="0" fontId="0" fillId="0" borderId="6" xfId="0" applyBorder="1"/>
    <xf numFmtId="0" fontId="0" fillId="0" borderId="12" xfId="0" applyBorder="1"/>
    <xf numFmtId="164" fontId="0" fillId="2" borderId="12" xfId="0" applyNumberFormat="1" applyFill="1" applyBorder="1"/>
    <xf numFmtId="0" fontId="0" fillId="2" borderId="12" xfId="0" applyFill="1" applyBorder="1"/>
    <xf numFmtId="0" fontId="0" fillId="2" borderId="13" xfId="0" applyFill="1" applyBorder="1"/>
    <xf numFmtId="0" fontId="0" fillId="5" borderId="2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2"/>
  <sheetViews>
    <sheetView tabSelected="1" topLeftCell="B1" workbookViewId="0">
      <selection activeCell="J4" sqref="J4"/>
    </sheetView>
  </sheetViews>
  <sheetFormatPr defaultRowHeight="14.4" x14ac:dyDescent="0.3"/>
  <cols>
    <col min="2" max="2" width="13.21875" customWidth="1"/>
    <col min="6" max="6" width="10.33203125" customWidth="1"/>
    <col min="9" max="9" width="12.109375" customWidth="1"/>
    <col min="10" max="10" width="6.6640625" customWidth="1"/>
    <col min="12" max="12" width="16.77734375" customWidth="1"/>
    <col min="13" max="13" width="5" customWidth="1"/>
  </cols>
  <sheetData>
    <row r="1" spans="2:14" x14ac:dyDescent="0.3">
      <c r="D1" s="10" t="s">
        <v>0</v>
      </c>
      <c r="E1" s="10"/>
      <c r="F1" s="10"/>
      <c r="G1" s="10"/>
      <c r="H1" s="10"/>
    </row>
    <row r="2" spans="2:14" x14ac:dyDescent="0.3">
      <c r="D2" s="11" t="s">
        <v>17</v>
      </c>
      <c r="E2" s="10"/>
      <c r="F2" s="10"/>
      <c r="G2" s="10"/>
      <c r="H2" s="10"/>
    </row>
    <row r="3" spans="2:14" x14ac:dyDescent="0.3">
      <c r="D3" t="s">
        <v>21</v>
      </c>
    </row>
    <row r="4" spans="2:14" x14ac:dyDescent="0.3">
      <c r="B4" t="s">
        <v>3</v>
      </c>
      <c r="D4" t="s">
        <v>7</v>
      </c>
      <c r="F4" t="s">
        <v>6</v>
      </c>
    </row>
    <row r="5" spans="2:14" x14ac:dyDescent="0.3">
      <c r="B5" s="1">
        <f>(F5*3/1023)*3.3*D5</f>
        <v>3.2000000000000006</v>
      </c>
      <c r="D5" s="2">
        <v>13</v>
      </c>
      <c r="F5" s="1">
        <f>(B9*1023)/(3*3.3*D5)</f>
        <v>25.435897435897441</v>
      </c>
    </row>
    <row r="6" spans="2:14" ht="15" thickBot="1" x14ac:dyDescent="0.35"/>
    <row r="7" spans="2:14" ht="58.8" customHeight="1" x14ac:dyDescent="0.3">
      <c r="D7" s="9"/>
      <c r="E7" s="12"/>
      <c r="F7" s="12"/>
      <c r="G7" s="12"/>
      <c r="H7" s="12"/>
      <c r="J7" s="28" t="s">
        <v>5</v>
      </c>
      <c r="K7" s="29"/>
      <c r="L7" s="3"/>
      <c r="M7" s="3"/>
      <c r="N7" s="4"/>
    </row>
    <row r="8" spans="2:14" x14ac:dyDescent="0.3">
      <c r="B8" s="5" t="s">
        <v>1</v>
      </c>
      <c r="C8" s="5"/>
      <c r="D8" s="5" t="s">
        <v>2</v>
      </c>
      <c r="E8" s="5"/>
      <c r="F8" s="5" t="s">
        <v>4</v>
      </c>
      <c r="G8" s="5"/>
      <c r="H8" s="5"/>
      <c r="J8" s="23" t="s">
        <v>18</v>
      </c>
      <c r="K8" s="24" t="s">
        <v>2</v>
      </c>
      <c r="L8" s="19" t="s">
        <v>19</v>
      </c>
      <c r="M8" s="5"/>
      <c r="N8" s="6"/>
    </row>
    <row r="9" spans="2:14" x14ac:dyDescent="0.3">
      <c r="B9" s="13">
        <v>3.2</v>
      </c>
      <c r="C9" s="5"/>
      <c r="D9" s="14">
        <v>2.9</v>
      </c>
      <c r="E9" s="5"/>
      <c r="F9" s="15">
        <f>D9/((F5*3/1023)*3.3)</f>
        <v>11.781249999999998</v>
      </c>
      <c r="J9" s="16">
        <v>385</v>
      </c>
      <c r="K9" s="25">
        <v>3</v>
      </c>
      <c r="L9" s="20">
        <f>(K9*1023)/(3.3*J9)</f>
        <v>2.4155844155844157</v>
      </c>
      <c r="M9" s="5"/>
      <c r="N9" s="6" t="s">
        <v>8</v>
      </c>
    </row>
    <row r="10" spans="2:14" x14ac:dyDescent="0.3">
      <c r="J10" s="16">
        <v>163</v>
      </c>
      <c r="K10" s="25">
        <v>6.6</v>
      </c>
      <c r="L10" s="20">
        <f t="shared" ref="L10:L18" si="0">(K10*1023)/(3.3*J10)</f>
        <v>12.552147239263803</v>
      </c>
      <c r="M10" s="5"/>
      <c r="N10" s="6" t="s">
        <v>9</v>
      </c>
    </row>
    <row r="11" spans="2:14" x14ac:dyDescent="0.3">
      <c r="D11" s="5"/>
      <c r="E11" s="5"/>
      <c r="F11" s="5"/>
      <c r="G11" s="5"/>
      <c r="H11" s="5"/>
      <c r="J11" s="16">
        <v>232</v>
      </c>
      <c r="K11" s="25">
        <v>9.6</v>
      </c>
      <c r="L11" s="20">
        <f t="shared" si="0"/>
        <v>12.827586206896552</v>
      </c>
      <c r="M11" s="5"/>
      <c r="N11" s="6" t="s">
        <v>10</v>
      </c>
    </row>
    <row r="12" spans="2:14" x14ac:dyDescent="0.3">
      <c r="D12" t="s">
        <v>23</v>
      </c>
      <c r="E12" s="5" t="s">
        <v>22</v>
      </c>
      <c r="F12" t="s">
        <v>24</v>
      </c>
      <c r="H12" s="5" t="s">
        <v>23</v>
      </c>
      <c r="J12" s="16">
        <v>283</v>
      </c>
      <c r="K12" s="25">
        <v>12.6</v>
      </c>
      <c r="L12" s="20">
        <f t="shared" si="0"/>
        <v>13.802120141342757</v>
      </c>
      <c r="M12" s="5"/>
      <c r="N12" s="6" t="s">
        <v>11</v>
      </c>
    </row>
    <row r="13" spans="2:14" x14ac:dyDescent="0.3">
      <c r="B13" s="30">
        <v>30</v>
      </c>
      <c r="D13" s="5">
        <v>4.7</v>
      </c>
      <c r="E13">
        <f>(B13/1023)*3.3*D13</f>
        <v>0.45483870967741935</v>
      </c>
      <c r="F13">
        <v>4.13</v>
      </c>
      <c r="H13">
        <f>F13/((B13/1023)*3.3)</f>
        <v>42.676666666666669</v>
      </c>
      <c r="J13" s="16">
        <v>381</v>
      </c>
      <c r="K13" s="25">
        <v>16.2</v>
      </c>
      <c r="L13" s="20">
        <f t="shared" si="0"/>
        <v>13.181102362204724</v>
      </c>
      <c r="M13" s="5"/>
      <c r="N13" s="6" t="s">
        <v>12</v>
      </c>
    </row>
    <row r="14" spans="2:14" x14ac:dyDescent="0.3">
      <c r="B14">
        <v>329</v>
      </c>
      <c r="D14" s="5"/>
      <c r="E14">
        <f>((B14/1023)*3.3*D14)-E13</f>
        <v>-0.45483870967741935</v>
      </c>
      <c r="F14">
        <v>4.12</v>
      </c>
      <c r="H14">
        <f>(F14)/((B14/1023)*3.3)</f>
        <v>3.8820668693009122</v>
      </c>
      <c r="J14" s="16">
        <v>450</v>
      </c>
      <c r="K14" s="25">
        <v>19.2</v>
      </c>
      <c r="L14" s="20">
        <f t="shared" si="0"/>
        <v>13.226666666666667</v>
      </c>
      <c r="M14" s="5"/>
      <c r="N14" s="6" t="s">
        <v>13</v>
      </c>
    </row>
    <row r="15" spans="2:14" x14ac:dyDescent="0.3">
      <c r="J15" s="16">
        <v>541</v>
      </c>
      <c r="K15" s="25">
        <v>23</v>
      </c>
      <c r="L15" s="20">
        <f t="shared" si="0"/>
        <v>13.179297597042515</v>
      </c>
      <c r="M15" s="5"/>
      <c r="N15" s="6" t="s">
        <v>14</v>
      </c>
    </row>
    <row r="16" spans="2:14" x14ac:dyDescent="0.3">
      <c r="J16" s="16">
        <v>606</v>
      </c>
      <c r="K16" s="25">
        <v>26.4</v>
      </c>
      <c r="L16" s="20">
        <f t="shared" si="0"/>
        <v>13.504950495049505</v>
      </c>
      <c r="M16" s="5"/>
      <c r="N16" s="6" t="s">
        <v>15</v>
      </c>
    </row>
    <row r="17" spans="10:14" x14ac:dyDescent="0.3">
      <c r="J17" s="16">
        <v>714</v>
      </c>
      <c r="K17" s="25">
        <v>29.7</v>
      </c>
      <c r="L17" s="20">
        <f t="shared" si="0"/>
        <v>12.894957983193278</v>
      </c>
      <c r="M17" s="5"/>
      <c r="N17" s="6" t="s">
        <v>16</v>
      </c>
    </row>
    <row r="18" spans="10:14" x14ac:dyDescent="0.3">
      <c r="J18" s="16">
        <v>622</v>
      </c>
      <c r="K18" s="25">
        <v>33.4</v>
      </c>
      <c r="L18" s="20">
        <f t="shared" si="0"/>
        <v>16.646302250803856</v>
      </c>
      <c r="M18" s="5"/>
      <c r="N18" s="6" t="s">
        <v>20</v>
      </c>
    </row>
    <row r="19" spans="10:14" x14ac:dyDescent="0.3">
      <c r="J19" s="17"/>
      <c r="K19" s="26"/>
      <c r="L19" s="21"/>
      <c r="M19" s="5"/>
      <c r="N19" s="6"/>
    </row>
    <row r="20" spans="10:14" x14ac:dyDescent="0.3">
      <c r="J20" s="17"/>
      <c r="K20" s="26"/>
      <c r="L20" s="21"/>
      <c r="M20" s="5"/>
      <c r="N20" s="6"/>
    </row>
    <row r="21" spans="10:14" x14ac:dyDescent="0.3">
      <c r="J21" s="17"/>
      <c r="K21" s="26"/>
      <c r="L21" s="21"/>
      <c r="M21" s="5"/>
      <c r="N21" s="6"/>
    </row>
    <row r="22" spans="10:14" ht="15" thickBot="1" x14ac:dyDescent="0.35">
      <c r="J22" s="18"/>
      <c r="K22" s="27"/>
      <c r="L22" s="22"/>
      <c r="M22" s="7"/>
      <c r="N22" s="8"/>
    </row>
  </sheetData>
  <mergeCells count="1">
    <mergeCell ref="J7:K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</dc:creator>
  <cp:lastModifiedBy>Sany</cp:lastModifiedBy>
  <dcterms:created xsi:type="dcterms:W3CDTF">2025-06-09T06:42:13Z</dcterms:created>
  <dcterms:modified xsi:type="dcterms:W3CDTF">2025-07-21T12:31:42Z</dcterms:modified>
</cp:coreProperties>
</file>